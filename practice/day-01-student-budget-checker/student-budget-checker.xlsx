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TH\OneDrive\Desktop\"/>
    </mc:Choice>
  </mc:AlternateContent>
  <xr:revisionPtr revIDLastSave="0" documentId="8_{0F956580-A939-4E89-93D8-BDC068E3E42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udget Che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8" i="1"/>
  <c r="B21" i="1" s="1"/>
  <c r="B22" i="1" s="1"/>
</calcChain>
</file>

<file path=xl/sharedStrings.xml><?xml version="1.0" encoding="utf-8"?>
<sst xmlns="http://schemas.openxmlformats.org/spreadsheetml/2006/main" count="26" uniqueCount="26">
  <si>
    <t>Student Part-Time Income and Budget Checker</t>
  </si>
  <si>
    <t>Income Inputs</t>
  </si>
  <si>
    <t>Hourly pay (GBP)</t>
  </si>
  <si>
    <t>Hours per week</t>
  </si>
  <si>
    <t>Weeks per month</t>
  </si>
  <si>
    <t>Monthly income</t>
  </si>
  <si>
    <t>Monthly Expense</t>
  </si>
  <si>
    <t>Estimated Cost GBP</t>
  </si>
  <si>
    <t>Notes</t>
  </si>
  <si>
    <t>Food</t>
  </si>
  <si>
    <t>Groceries and simple meals</t>
  </si>
  <si>
    <t>Transport</t>
  </si>
  <si>
    <t>Local travel</t>
  </si>
  <si>
    <t>Phone</t>
  </si>
  <si>
    <t>SIM plan</t>
  </si>
  <si>
    <t>Laundry</t>
  </si>
  <si>
    <t>Washing clothes</t>
  </si>
  <si>
    <t>Personal</t>
  </si>
  <si>
    <t>Small personal spending</t>
  </si>
  <si>
    <t>Total Expenses</t>
  </si>
  <si>
    <t>Monthly Result</t>
  </si>
  <si>
    <t>Amount GBP</t>
  </si>
  <si>
    <t>Income</t>
  </si>
  <si>
    <t>Money Left After Expenses</t>
  </si>
  <si>
    <t>Practice idea: change hourly pay or expenses and check how the monthly result changes.</t>
  </si>
  <si>
    <t>Monthly Budget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</si>
</sst>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£0.00"/>
    <numFmt numFmtId="165" formatCode="\£#,##0.00"/>
  </numFmts>
  <fonts count="5">
    <font>
      <sz val="11"/>
      <name val="Carlito"/>
    </font>
    <font>
      <b/>
      <sz val="16"/>
      <color rgb="FFFFFFFF"/>
      <name val="Carlito"/>
    </font>
    <font>
      <i/>
      <sz val="11"/>
      <color rgb="FF666666"/>
      <name val="Carlito"/>
    </font>
    <font>
      <b/>
      <sz val="11"/>
      <name val="Carlito"/>
    </font>
    <font>
      <b/>
      <sz val="11"/>
      <color rgb="FF217346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17346"/>
      </patternFill>
    </fill>
    <fill>
      <patternFill patternType="solid">
        <fgColor rgb="FFE2F0D9"/>
      </patternFill>
    </fill>
    <fill>
      <patternFill patternType="solid">
        <fgColor rgb="FFF3F8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0" xfId="0" applyFont="1" applyFill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165" fontId="4" fillId="4" borderId="0" xfId="0" applyNumberFormat="1" applyFont="1" applyFill="1"/>
    <xf numFmtId="165" fontId="3" fillId="3" borderId="0" xfId="0" applyNumberFormat="1" applyFont="1" applyFill="1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Monthly Expenses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Estimated Cost GBP</c:v>
          </c:tx>
          <c:invertIfNegative val="1"/>
          <c:cat>
            <c:strRef>
              <c:f>'Budget Checker'!$A$12:$A$16</c:f>
              <c:strCache>
                <c:ptCount val="5"/>
                <c:pt idx="0">
                  <c:v>Food</c:v>
                </c:pt>
                <c:pt idx="1">
                  <c:v>Transport</c:v>
                </c:pt>
                <c:pt idx="2">
                  <c:v>Phone</c:v>
                </c:pt>
                <c:pt idx="3">
                  <c:v>Laundry</c:v>
                </c:pt>
                <c:pt idx="4">
                  <c:v>Personal</c:v>
                </c:pt>
              </c:strCache>
            </c:strRef>
          </c:cat>
          <c:val>
            <c:numRef>
              <c:f>'Budget Checker'!$B$12:$B$16</c:f>
              <c:numCache>
                <c:formatCode>\£#,##0.00</c:formatCode>
                <c:ptCount val="5"/>
                <c:pt idx="0">
                  <c:v>160</c:v>
                </c:pt>
                <c:pt idx="1">
                  <c:v>70</c:v>
                </c:pt>
                <c:pt idx="2">
                  <c:v>15</c:v>
                </c:pt>
                <c:pt idx="3">
                  <c:v>25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A-4FCC-85A8-E2B50DAF4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£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nthlyExpenses" displayName="MonthlyExpenses" ref="A11:C16">
  <tableColumns count="3">
    <tableColumn id="1" xr3:uid="{00000000-0010-0000-0000-000001000000}" name="Monthly Expense"/>
    <tableColumn id="2" xr3:uid="{00000000-0010-0000-0000-000002000000}" name="Estimated Cost GBP"/>
    <tableColumn id="3" xr3:uid="{00000000-0010-0000-0000-000003000000}" name="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showGridLines="0" tabSelected="1" workbookViewId="0">
      <selection activeCell="J40" sqref="J40"/>
    </sheetView>
  </sheetViews>
  <sheetFormatPr defaultRowHeight="14"/>
  <cols>
    <col min="1" max="1" width="25" customWidth="1"/>
    <col min="2" max="2" width="20" customWidth="1"/>
    <col min="3" max="3" width="28" customWidth="1"/>
    <col min="4" max="4" width="3" customWidth="1"/>
    <col min="5" max="10" width="14" customWidth="1"/>
  </cols>
  <sheetData>
    <row r="1" spans="1:10" ht="32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14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</row>
    <row r="4" spans="1:10">
      <c r="A4" s="9" t="s">
        <v>1</v>
      </c>
      <c r="B4" s="9"/>
    </row>
    <row r="5" spans="1:10">
      <c r="A5" s="2" t="s">
        <v>2</v>
      </c>
      <c r="B5" s="3">
        <v>12</v>
      </c>
    </row>
    <row r="6" spans="1:10">
      <c r="A6" s="2" t="s">
        <v>3</v>
      </c>
      <c r="B6">
        <v>20</v>
      </c>
    </row>
    <row r="7" spans="1:10">
      <c r="A7" s="2" t="s">
        <v>4</v>
      </c>
      <c r="B7">
        <v>4</v>
      </c>
    </row>
    <row r="8" spans="1:10">
      <c r="A8" s="2" t="s">
        <v>5</v>
      </c>
      <c r="B8" s="5">
        <f>B5*B6*B7</f>
        <v>960</v>
      </c>
    </row>
    <row r="11" spans="1:10">
      <c r="A11" t="s">
        <v>6</v>
      </c>
      <c r="B11" t="s">
        <v>7</v>
      </c>
      <c r="C11" t="s">
        <v>8</v>
      </c>
    </row>
    <row r="12" spans="1:10">
      <c r="A12" t="s">
        <v>9</v>
      </c>
      <c r="B12" s="4">
        <v>160</v>
      </c>
      <c r="C12" t="s">
        <v>10</v>
      </c>
    </row>
    <row r="13" spans="1:10">
      <c r="A13" t="s">
        <v>11</v>
      </c>
      <c r="B13" s="4">
        <v>70</v>
      </c>
      <c r="C13" t="s">
        <v>12</v>
      </c>
    </row>
    <row r="14" spans="1:10">
      <c r="A14" t="s">
        <v>13</v>
      </c>
      <c r="B14" s="4">
        <v>15</v>
      </c>
      <c r="C14" t="s">
        <v>14</v>
      </c>
    </row>
    <row r="15" spans="1:10">
      <c r="A15" t="s">
        <v>15</v>
      </c>
      <c r="B15" s="4">
        <v>25</v>
      </c>
      <c r="C15" t="s">
        <v>16</v>
      </c>
    </row>
    <row r="16" spans="1:10">
      <c r="A16" t="s">
        <v>17</v>
      </c>
      <c r="B16" s="4">
        <v>60</v>
      </c>
      <c r="C16" t="s">
        <v>18</v>
      </c>
    </row>
    <row r="17" spans="1:10">
      <c r="A17" s="1" t="s">
        <v>19</v>
      </c>
      <c r="B17" s="6">
        <f>SUM(B12:B16)</f>
        <v>330</v>
      </c>
      <c r="C17" s="1"/>
    </row>
    <row r="20" spans="1:10">
      <c r="A20" s="1" t="s">
        <v>20</v>
      </c>
      <c r="B20" s="1" t="s">
        <v>21</v>
      </c>
    </row>
    <row r="21" spans="1:10">
      <c r="A21" s="2" t="s">
        <v>22</v>
      </c>
      <c r="B21" s="4">
        <f>B8</f>
        <v>960</v>
      </c>
    </row>
    <row r="22" spans="1:10">
      <c r="A22" s="2" t="s">
        <v>23</v>
      </c>
      <c r="B22" s="5">
        <f>B21-B17</f>
        <v>630</v>
      </c>
    </row>
    <row r="24" spans="1:10" ht="14.5">
      <c r="A24" s="8" t="s">
        <v>24</v>
      </c>
      <c r="B24" s="8"/>
      <c r="C24" s="8"/>
      <c r="D24" s="8"/>
      <c r="E24" s="8"/>
      <c r="F24" s="8"/>
      <c r="G24" s="8"/>
      <c r="H24" s="8"/>
      <c r="I24" s="8"/>
      <c r="J24" s="8"/>
    </row>
  </sheetData>
  <mergeCells count="4">
    <mergeCell ref="A1:J1"/>
    <mergeCell ref="A2:J2"/>
    <mergeCell ref="A4:B4"/>
    <mergeCell ref="A24:J2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Checker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 Clue</dc:creator>
  <cp:lastModifiedBy>Black Clue</cp:lastModifiedBy>
  <dcterms:created xsi:type="dcterms:W3CDTF">2026-05-23T17:45:39Z</dcterms:created>
  <dcterms:modified xsi:type="dcterms:W3CDTF">2026-05-23T17:45:39Z</dcterms:modified>
</cp:coreProperties>
</file>